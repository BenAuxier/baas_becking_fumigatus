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bo_briggeman_wur_nl/Documents/3_Experimental_work/4_Groenafval/Sequencing/baas_becking_fumigatus/meta/"/>
    </mc:Choice>
  </mc:AlternateContent>
  <xr:revisionPtr revIDLastSave="0" documentId="8_{1E4CFA2F-39AA-1941-8BA2-8C18218CF7CA}" xr6:coauthVersionLast="47" xr6:coauthVersionMax="47" xr10:uidLastSave="{00000000-0000-0000-0000-000000000000}"/>
  <bookViews>
    <workbookView xWindow="-2060" yWindow="-26340" windowWidth="26840" windowHeight="15660" xr2:uid="{42024C44-F773-9046-AB9E-3D1D02E322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6" i="1" l="1"/>
  <c r="K26" i="1"/>
  <c r="L26" i="1"/>
  <c r="I26" i="1"/>
  <c r="H26" i="1"/>
  <c r="D25" i="1"/>
  <c r="E25" i="1"/>
  <c r="F25" i="1"/>
  <c r="G25" i="1"/>
  <c r="H25" i="1"/>
  <c r="I25" i="1"/>
  <c r="J25" i="1"/>
  <c r="K25" i="1"/>
  <c r="L25" i="1"/>
  <c r="C25" i="1"/>
  <c r="H27" i="1" l="1"/>
  <c r="I27" i="1"/>
  <c r="L27" i="1"/>
  <c r="K27" i="1"/>
  <c r="J27" i="1"/>
</calcChain>
</file>

<file path=xl/sharedStrings.xml><?xml version="1.0" encoding="utf-8"?>
<sst xmlns="http://schemas.openxmlformats.org/spreadsheetml/2006/main" count="90" uniqueCount="74">
  <si>
    <t>Sample</t>
  </si>
  <si>
    <t>Heap</t>
  </si>
  <si>
    <t>HPLC fungicide measurements (mg/kg)</t>
  </si>
  <si>
    <t>Per fungicide class</t>
  </si>
  <si>
    <t>sum AH</t>
  </si>
  <si>
    <t>sum DMI</t>
  </si>
  <si>
    <t>sum MBC</t>
  </si>
  <si>
    <t>sum QoI</t>
  </si>
  <si>
    <t>sum SDHI</t>
  </si>
  <si>
    <t>sum sulfamides</t>
  </si>
  <si>
    <t>sum AP</t>
  </si>
  <si>
    <t>sum KRI</t>
  </si>
  <si>
    <t>sum phthalimides</t>
  </si>
  <si>
    <t>sum PP</t>
  </si>
  <si>
    <t>sum Amines</t>
  </si>
  <si>
    <t>sum Carbamates</t>
  </si>
  <si>
    <t>sum CAA</t>
  </si>
  <si>
    <t>sum PA</t>
  </si>
  <si>
    <t>sum aryl phenylketones</t>
  </si>
  <si>
    <t>AH</t>
  </si>
  <si>
    <t>Aromatic Hydrocarbon</t>
  </si>
  <si>
    <t>DMI</t>
  </si>
  <si>
    <t xml:space="preserve">Demethylation Inhibitor </t>
  </si>
  <si>
    <t>MBC</t>
  </si>
  <si>
    <t>Methyl Benzimidazole Carbamate</t>
  </si>
  <si>
    <t>QoI</t>
  </si>
  <si>
    <t xml:space="preserve">Quinone Outside Inhibitor </t>
  </si>
  <si>
    <t>SDHI</t>
  </si>
  <si>
    <t>Succinate Dehydrogenase Inhibitors</t>
  </si>
  <si>
    <t>AP</t>
  </si>
  <si>
    <t>Anilinopyrimidine</t>
  </si>
  <si>
    <t>KRI</t>
  </si>
  <si>
    <t>Keto Reductase Inhibitor</t>
  </si>
  <si>
    <t>PP</t>
  </si>
  <si>
    <t>Phenylpyrrole</t>
  </si>
  <si>
    <t>CAA</t>
  </si>
  <si>
    <t>Carboxylic Acid Amide</t>
  </si>
  <si>
    <t>PA</t>
  </si>
  <si>
    <t>Phenylamide</t>
  </si>
  <si>
    <t>A</t>
  </si>
  <si>
    <t>B</t>
  </si>
  <si>
    <t>C</t>
  </si>
  <si>
    <t>D</t>
  </si>
  <si>
    <t>E</t>
  </si>
  <si>
    <t>G1</t>
  </si>
  <si>
    <t>G2</t>
  </si>
  <si>
    <t>G3</t>
  </si>
  <si>
    <t>G4</t>
  </si>
  <si>
    <t>G8</t>
  </si>
  <si>
    <t>Low fungicide</t>
  </si>
  <si>
    <t>High fungicide</t>
  </si>
  <si>
    <t>Material</t>
  </si>
  <si>
    <t>Green waste</t>
  </si>
  <si>
    <t>Lilies</t>
  </si>
  <si>
    <t>Boscalid</t>
  </si>
  <si>
    <t>Carbendazim</t>
  </si>
  <si>
    <t>Fluopyram</t>
  </si>
  <si>
    <t>Flutolanil</t>
  </si>
  <si>
    <t>Pyraclostrobin</t>
  </si>
  <si>
    <t>Fludioxonil</t>
  </si>
  <si>
    <t>Folpet</t>
  </si>
  <si>
    <t>Captan</t>
  </si>
  <si>
    <t>Prochloraz</t>
  </si>
  <si>
    <t>Fluxapyroxad</t>
  </si>
  <si>
    <t>2,4,6,-Trichlorophenol</t>
  </si>
  <si>
    <t>Azoxystrobin</t>
  </si>
  <si>
    <t>Pentachloroaniline</t>
  </si>
  <si>
    <t>Prothioconazole-desthio</t>
  </si>
  <si>
    <t>Tebuconazole</t>
  </si>
  <si>
    <t>Tetrahydrophthalimide</t>
  </si>
  <si>
    <t>Thiabendazole</t>
  </si>
  <si>
    <t>Triazoles (mg/kg)</t>
  </si>
  <si>
    <t xml:space="preserve">Percentage triazoles </t>
  </si>
  <si>
    <t>Total fungicides 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</si>
</sst>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indexed="8"/>
      <name val="Aptos Narrow"/>
      <scheme val="minor"/>
    </font>
    <font>
      <sz val="12"/>
      <color indexed="8"/>
      <name val="Aptos Narrow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3" fillId="2" borderId="3" xfId="0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/>
    <xf numFmtId="2" fontId="0" fillId="0" borderId="0" xfId="0" applyNumberFormat="1"/>
    <xf numFmtId="0" fontId="1" fillId="3" borderId="0" xfId="0" applyFont="1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C732-C9FE-EA4C-9755-D25C29573EFF}">
  <dimension ref="B2:M132"/>
  <sheetViews>
    <sheetView tabSelected="1" workbookViewId="0">
      <selection activeCell="C30" sqref="C30"/>
    </sheetView>
  </sheetViews>
  <sheetFormatPr baseColWidth="10" defaultRowHeight="16" x14ac:dyDescent="0.2"/>
  <cols>
    <col min="2" max="2" width="38.6640625" customWidth="1"/>
    <col min="3" max="12" width="15.83203125" customWidth="1"/>
  </cols>
  <sheetData>
    <row r="2" spans="2:13" x14ac:dyDescent="0.2">
      <c r="B2" s="9" t="s">
        <v>0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</row>
    <row r="3" spans="2:13" x14ac:dyDescent="0.2">
      <c r="B3" s="9" t="s">
        <v>1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</row>
    <row r="4" spans="2:13" x14ac:dyDescent="0.2">
      <c r="B4" s="9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52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</row>
    <row r="5" spans="2:13" ht="17" customHeight="1" x14ac:dyDescent="0.2">
      <c r="B5" s="11"/>
    </row>
    <row r="6" spans="2:13" x14ac:dyDescent="0.2">
      <c r="B6" s="9" t="s">
        <v>2</v>
      </c>
      <c r="M6" s="1"/>
    </row>
    <row r="7" spans="2:13" x14ac:dyDescent="0.2">
      <c r="B7" s="10" t="s">
        <v>64</v>
      </c>
      <c r="H7">
        <v>0.98</v>
      </c>
      <c r="I7">
        <v>0.92</v>
      </c>
      <c r="J7">
        <v>10</v>
      </c>
      <c r="K7" s="7">
        <v>1.1000000000000001</v>
      </c>
      <c r="L7">
        <v>0.92</v>
      </c>
    </row>
    <row r="8" spans="2:13" x14ac:dyDescent="0.2">
      <c r="B8" s="10" t="s">
        <v>65</v>
      </c>
      <c r="J8">
        <v>0.13</v>
      </c>
    </row>
    <row r="9" spans="2:13" x14ac:dyDescent="0.2">
      <c r="B9" s="10" t="s">
        <v>54</v>
      </c>
      <c r="H9">
        <v>6.4000000000000001E-2</v>
      </c>
      <c r="I9">
        <v>0.12</v>
      </c>
      <c r="J9">
        <v>0.21</v>
      </c>
      <c r="K9" s="7">
        <v>2.2999999999999998</v>
      </c>
      <c r="L9">
        <v>0.1</v>
      </c>
    </row>
    <row r="10" spans="2:13" x14ac:dyDescent="0.2">
      <c r="B10" s="10" t="s">
        <v>61</v>
      </c>
      <c r="H10">
        <v>4.0999999999999996</v>
      </c>
      <c r="I10">
        <v>4.0999999999999996</v>
      </c>
      <c r="J10">
        <v>2.9</v>
      </c>
      <c r="K10" s="7">
        <v>1.2E-2</v>
      </c>
      <c r="L10">
        <v>9.5</v>
      </c>
    </row>
    <row r="11" spans="2:13" x14ac:dyDescent="0.2">
      <c r="B11" s="10" t="s">
        <v>55</v>
      </c>
      <c r="H11">
        <v>0.03</v>
      </c>
      <c r="I11">
        <v>6.0999999999999999E-2</v>
      </c>
      <c r="J11">
        <v>0.22</v>
      </c>
      <c r="L11">
        <v>3.3000000000000002E-2</v>
      </c>
    </row>
    <row r="12" spans="2:13" x14ac:dyDescent="0.2">
      <c r="B12" s="10" t="s">
        <v>59</v>
      </c>
      <c r="H12">
        <v>12.1</v>
      </c>
      <c r="I12">
        <v>24.2</v>
      </c>
      <c r="J12">
        <v>14.6</v>
      </c>
      <c r="K12" s="7">
        <v>13.3</v>
      </c>
      <c r="L12">
        <v>16.100000000000001</v>
      </c>
    </row>
    <row r="13" spans="2:13" x14ac:dyDescent="0.2">
      <c r="B13" s="10" t="s">
        <v>56</v>
      </c>
      <c r="H13">
        <v>4.4000000000000004</v>
      </c>
      <c r="I13">
        <v>7.4</v>
      </c>
      <c r="J13">
        <v>5.2</v>
      </c>
      <c r="K13" s="7">
        <v>4.5999999999999996</v>
      </c>
      <c r="L13">
        <v>6.9</v>
      </c>
    </row>
    <row r="14" spans="2:13" x14ac:dyDescent="0.2">
      <c r="B14" s="10" t="s">
        <v>57</v>
      </c>
      <c r="H14">
        <v>1.9E-2</v>
      </c>
      <c r="I14">
        <v>6.0999999999999999E-2</v>
      </c>
      <c r="J14">
        <v>4.4999999999999998E-2</v>
      </c>
      <c r="L14">
        <v>0.03</v>
      </c>
    </row>
    <row r="15" spans="2:13" x14ac:dyDescent="0.2">
      <c r="B15" s="10" t="s">
        <v>63</v>
      </c>
      <c r="I15">
        <v>1.7999999999999999E-2</v>
      </c>
      <c r="J15">
        <v>4.4999999999999998E-2</v>
      </c>
    </row>
    <row r="16" spans="2:13" x14ac:dyDescent="0.2">
      <c r="B16" s="10" t="s">
        <v>60</v>
      </c>
      <c r="H16">
        <v>14.7</v>
      </c>
      <c r="I16">
        <v>14.9</v>
      </c>
      <c r="J16">
        <v>94.5</v>
      </c>
      <c r="K16" s="7">
        <v>15.1</v>
      </c>
      <c r="L16">
        <v>13.1</v>
      </c>
    </row>
    <row r="17" spans="2:12" x14ac:dyDescent="0.2">
      <c r="B17" s="10" t="s">
        <v>66</v>
      </c>
      <c r="H17">
        <v>1.0999999999999999E-2</v>
      </c>
      <c r="I17">
        <v>1.7999999999999999E-2</v>
      </c>
    </row>
    <row r="18" spans="2:12" x14ac:dyDescent="0.2">
      <c r="B18" s="10" t="s">
        <v>62</v>
      </c>
      <c r="H18">
        <v>0.21</v>
      </c>
      <c r="I18">
        <v>0.35</v>
      </c>
      <c r="J18">
        <v>7.4</v>
      </c>
      <c r="K18" s="7">
        <v>0.28000000000000003</v>
      </c>
      <c r="L18">
        <v>0.22</v>
      </c>
    </row>
    <row r="19" spans="2:12" x14ac:dyDescent="0.2">
      <c r="B19" s="10" t="s">
        <v>67</v>
      </c>
      <c r="H19">
        <v>2.4</v>
      </c>
      <c r="I19">
        <v>5.2</v>
      </c>
      <c r="J19">
        <v>5.2</v>
      </c>
      <c r="K19" s="7">
        <v>3.7</v>
      </c>
      <c r="L19">
        <v>3.9</v>
      </c>
    </row>
    <row r="20" spans="2:12" x14ac:dyDescent="0.2">
      <c r="B20" s="10" t="s">
        <v>58</v>
      </c>
      <c r="H20">
        <v>10.7</v>
      </c>
      <c r="I20">
        <v>15.7</v>
      </c>
      <c r="J20">
        <v>21.2</v>
      </c>
      <c r="K20" s="7">
        <v>9.6</v>
      </c>
      <c r="L20">
        <v>16</v>
      </c>
    </row>
    <row r="21" spans="2:12" x14ac:dyDescent="0.2">
      <c r="B21" s="10" t="s">
        <v>68</v>
      </c>
      <c r="H21">
        <v>9.8000000000000004E-2</v>
      </c>
      <c r="I21">
        <v>0.21</v>
      </c>
      <c r="J21">
        <v>9.9000000000000005E-2</v>
      </c>
      <c r="K21" s="7">
        <v>9.2999999999999999E-2</v>
      </c>
      <c r="L21">
        <v>0.16</v>
      </c>
    </row>
    <row r="22" spans="2:12" x14ac:dyDescent="0.2">
      <c r="B22" s="10" t="s">
        <v>69</v>
      </c>
      <c r="I22">
        <v>4.0999999999999996</v>
      </c>
    </row>
    <row r="23" spans="2:12" x14ac:dyDescent="0.2">
      <c r="B23" s="10" t="s">
        <v>70</v>
      </c>
      <c r="J23">
        <v>4.8000000000000001E-2</v>
      </c>
    </row>
    <row r="24" spans="2:12" x14ac:dyDescent="0.2">
      <c r="B24" s="11"/>
    </row>
    <row r="25" spans="2:12" x14ac:dyDescent="0.2">
      <c r="B25" s="9" t="s">
        <v>73</v>
      </c>
      <c r="C25">
        <f>SUM(C7:C23)</f>
        <v>0</v>
      </c>
      <c r="D25">
        <f t="shared" ref="D25:L25" si="0">SUM(D7:D23)</f>
        <v>0</v>
      </c>
      <c r="E25">
        <f t="shared" si="0"/>
        <v>0</v>
      </c>
      <c r="F25">
        <f t="shared" si="0"/>
        <v>0</v>
      </c>
      <c r="G25">
        <f t="shared" si="0"/>
        <v>0</v>
      </c>
      <c r="H25" s="8">
        <f t="shared" si="0"/>
        <v>49.811999999999998</v>
      </c>
      <c r="I25" s="8">
        <f t="shared" si="0"/>
        <v>77.35799999999999</v>
      </c>
      <c r="J25" s="8">
        <f t="shared" si="0"/>
        <v>161.79699999999997</v>
      </c>
      <c r="K25" s="8">
        <f t="shared" si="0"/>
        <v>50.085000000000008</v>
      </c>
      <c r="L25" s="8">
        <f t="shared" si="0"/>
        <v>66.962999999999994</v>
      </c>
    </row>
    <row r="26" spans="2:12" x14ac:dyDescent="0.2">
      <c r="B26" s="9" t="s">
        <v>71</v>
      </c>
      <c r="H26" s="8">
        <f>SUM(H19,H21,H18)</f>
        <v>2.7079999999999997</v>
      </c>
      <c r="I26" s="8">
        <f>SUM(I19,I21,I18)</f>
        <v>5.76</v>
      </c>
      <c r="J26" s="8">
        <f t="shared" ref="J26:L26" si="1">SUM(J19,J21,J18)</f>
        <v>12.699000000000002</v>
      </c>
      <c r="K26" s="8">
        <f t="shared" si="1"/>
        <v>4.0730000000000004</v>
      </c>
      <c r="L26" s="8">
        <f t="shared" si="1"/>
        <v>4.2799999999999994</v>
      </c>
    </row>
    <row r="27" spans="2:12" x14ac:dyDescent="0.2">
      <c r="B27" s="9" t="s">
        <v>72</v>
      </c>
      <c r="H27" s="8">
        <f>H26/H25*100</f>
        <v>5.436441018228539</v>
      </c>
      <c r="I27" s="8">
        <f t="shared" ref="I27:L27" si="2">I26/I25*100</f>
        <v>7.4459008764445835</v>
      </c>
      <c r="J27" s="8">
        <f t="shared" si="2"/>
        <v>7.8487240183686993</v>
      </c>
      <c r="K27" s="8">
        <f t="shared" si="2"/>
        <v>8.1321753019866208</v>
      </c>
      <c r="L27" s="8">
        <f t="shared" si="2"/>
        <v>6.3915893851828622</v>
      </c>
    </row>
    <row r="106" spans="2:3" ht="17" thickBot="1" x14ac:dyDescent="0.25">
      <c r="B106" s="1" t="s">
        <v>3</v>
      </c>
      <c r="C106" s="2"/>
    </row>
    <row r="107" spans="2:3" x14ac:dyDescent="0.2">
      <c r="B107" s="3" t="s">
        <v>4</v>
      </c>
      <c r="C107" s="2"/>
    </row>
    <row r="108" spans="2:3" x14ac:dyDescent="0.2">
      <c r="B108" s="4" t="s">
        <v>5</v>
      </c>
      <c r="C108" s="2"/>
    </row>
    <row r="109" spans="2:3" x14ac:dyDescent="0.2">
      <c r="B109" s="4" t="s">
        <v>6</v>
      </c>
      <c r="C109" s="2"/>
    </row>
    <row r="110" spans="2:3" x14ac:dyDescent="0.2">
      <c r="B110" s="4" t="s">
        <v>7</v>
      </c>
      <c r="C110" s="2"/>
    </row>
    <row r="111" spans="2:3" x14ac:dyDescent="0.2">
      <c r="B111" s="4" t="s">
        <v>8</v>
      </c>
      <c r="C111" s="2"/>
    </row>
    <row r="112" spans="2:3" x14ac:dyDescent="0.2">
      <c r="B112" s="4" t="s">
        <v>9</v>
      </c>
      <c r="C112" s="2"/>
    </row>
    <row r="113" spans="2:3" x14ac:dyDescent="0.2">
      <c r="B113" s="4" t="s">
        <v>10</v>
      </c>
      <c r="C113" s="2"/>
    </row>
    <row r="114" spans="2:3" x14ac:dyDescent="0.2">
      <c r="B114" s="4" t="s">
        <v>11</v>
      </c>
      <c r="C114" s="2"/>
    </row>
    <row r="115" spans="2:3" x14ac:dyDescent="0.2">
      <c r="B115" s="4" t="s">
        <v>12</v>
      </c>
      <c r="C115" s="2"/>
    </row>
    <row r="116" spans="2:3" x14ac:dyDescent="0.2">
      <c r="B116" s="4" t="s">
        <v>13</v>
      </c>
      <c r="C116" s="2"/>
    </row>
    <row r="117" spans="2:3" x14ac:dyDescent="0.2">
      <c r="B117" s="4" t="s">
        <v>14</v>
      </c>
      <c r="C117" s="2"/>
    </row>
    <row r="118" spans="2:3" x14ac:dyDescent="0.2">
      <c r="B118" s="4" t="s">
        <v>15</v>
      </c>
      <c r="C118" s="2"/>
    </row>
    <row r="119" spans="2:3" x14ac:dyDescent="0.2">
      <c r="B119" s="4" t="s">
        <v>16</v>
      </c>
      <c r="C119" s="2"/>
    </row>
    <row r="120" spans="2:3" x14ac:dyDescent="0.2">
      <c r="B120" s="4" t="s">
        <v>17</v>
      </c>
      <c r="C120" s="2"/>
    </row>
    <row r="121" spans="2:3" ht="17" thickBot="1" x14ac:dyDescent="0.25">
      <c r="B121" s="5" t="s">
        <v>18</v>
      </c>
      <c r="C121" s="2"/>
    </row>
    <row r="122" spans="2:3" x14ac:dyDescent="0.2">
      <c r="B122" s="2"/>
    </row>
    <row r="123" spans="2:3" x14ac:dyDescent="0.2">
      <c r="B123" s="6" t="s">
        <v>19</v>
      </c>
      <c r="C123" s="6" t="s">
        <v>20</v>
      </c>
    </row>
    <row r="124" spans="2:3" x14ac:dyDescent="0.2">
      <c r="B124" s="6" t="s">
        <v>21</v>
      </c>
      <c r="C124" s="6" t="s">
        <v>22</v>
      </c>
    </row>
    <row r="125" spans="2:3" x14ac:dyDescent="0.2">
      <c r="B125" s="6" t="s">
        <v>23</v>
      </c>
      <c r="C125" s="6" t="s">
        <v>24</v>
      </c>
    </row>
    <row r="126" spans="2:3" x14ac:dyDescent="0.2">
      <c r="B126" s="6" t="s">
        <v>25</v>
      </c>
      <c r="C126" s="6" t="s">
        <v>26</v>
      </c>
    </row>
    <row r="127" spans="2:3" x14ac:dyDescent="0.2">
      <c r="B127" s="6" t="s">
        <v>27</v>
      </c>
      <c r="C127" s="6" t="s">
        <v>28</v>
      </c>
    </row>
    <row r="128" spans="2:3" x14ac:dyDescent="0.2">
      <c r="B128" s="6" t="s">
        <v>29</v>
      </c>
      <c r="C128" s="6" t="s">
        <v>30</v>
      </c>
    </row>
    <row r="129" spans="2:3" x14ac:dyDescent="0.2">
      <c r="B129" s="6" t="s">
        <v>31</v>
      </c>
      <c r="C129" s="6" t="s">
        <v>32</v>
      </c>
    </row>
    <row r="130" spans="2:3" x14ac:dyDescent="0.2">
      <c r="B130" s="6" t="s">
        <v>33</v>
      </c>
      <c r="C130" s="6" t="s">
        <v>34</v>
      </c>
    </row>
    <row r="131" spans="2:3" x14ac:dyDescent="0.2">
      <c r="B131" s="6" t="s">
        <v>35</v>
      </c>
      <c r="C131" s="6" t="s">
        <v>36</v>
      </c>
    </row>
    <row r="132" spans="2:3" x14ac:dyDescent="0.2">
      <c r="B132" s="6" t="s">
        <v>37</v>
      </c>
      <c r="C132" s="6" t="s">
        <v>38</v>
      </c>
    </row>
  </sheetData>
  <sortState xmlns:xlrd2="http://schemas.microsoft.com/office/spreadsheetml/2017/richdata2" ref="B7:J23">
    <sortCondition ref="B7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Briggeman, Bo</dc:creator>
  <cp:lastModifiedBy>Briggeman, Bo</cp:lastModifiedBy>
  <dcterms:created xsi:type="dcterms:W3CDTF">2026-08-12T11:53:51Z</dcterms:created>
  <dcterms:modified xsi:type="dcterms:W3CDTF">2026-08-12T12:32:24Z</dcterms:modified>
</cp:coreProperties>
</file>